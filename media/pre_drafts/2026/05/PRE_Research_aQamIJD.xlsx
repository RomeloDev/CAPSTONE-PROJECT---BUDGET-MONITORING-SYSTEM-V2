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Departmental PRE" sheetId="2" r:id="rId1"/>
    <sheet name="Departmental PR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<sst xmlns="http://schemas.openxmlformats.org/spreadsheetml/2006/main" count="1677" uniqueCount="154">
  <si>
    <r>
      <rPr>
        <sz val="11"/>
        <color theme="1"/>
        <rFont val="Arial"/>
        <charset val="134"/>
      </rPr>
      <t xml:space="preserve">                                   Republic of the Philippines
                                  </t>
    </r>
    <r>
      <rPr>
        <b/>
        <sz val="12"/>
        <color theme="1"/>
        <rFont val="Arial"/>
        <charset val="134"/>
      </rPr>
      <t xml:space="preserve"> 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                                        [Address, Zip Code, Bohol, Philippines]
                                        Office of the ___________________________
                                        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</si>
  <si>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PROGRAM OF RECEIPTS AND EXPENDITURES</t>
  </si>
  <si>
    <t>FY_____________________</t>
  </si>
  <si>
    <t>END USER :</t>
  </si>
  <si>
    <t>Supply and Property Management Office (SMO)</t>
  </si>
  <si>
    <t>PROGRAM :</t>
  </si>
  <si>
    <t>GASS</t>
  </si>
  <si>
    <t>FUND SOURCE:</t>
  </si>
  <si>
    <t>STF</t>
  </si>
  <si>
    <t>Q1</t>
  </si>
  <si>
    <t>Q2</t>
  </si>
  <si>
    <t>Q3</t>
  </si>
  <si>
    <t>Q4</t>
  </si>
  <si>
    <t>TOTAL</t>
  </si>
  <si>
    <t>RECEIPTS / BUDGET</t>
  </si>
  <si>
    <t>GASS - TUITION FEE</t>
  </si>
  <si>
    <t>XXX</t>
  </si>
  <si>
    <t>BUDGET BY OBJECT OF EXPENDITURES</t>
  </si>
  <si>
    <t>Personnel Services</t>
  </si>
  <si>
    <t>Basic Salary</t>
  </si>
  <si>
    <t>-</t>
  </si>
  <si>
    <t>Honoraria</t>
  </si>
  <si>
    <t>Overtime Pay</t>
  </si>
  <si>
    <t>Total Personnel Services</t>
  </si>
  <si>
    <t>Maintenance and Other Operating Expenses</t>
  </si>
  <si>
    <t>Travelling Expenses</t>
  </si>
  <si>
    <t>Travelling expenses-local</t>
  </si>
  <si>
    <t>Travelling Expenses-foreign</t>
  </si>
  <si>
    <t>Training and Scholarship expenses</t>
  </si>
  <si>
    <t>Training Expenses</t>
  </si>
  <si>
    <t>Supplies and materials expenses</t>
  </si>
  <si>
    <t>Office Supplies Expenses</t>
  </si>
  <si>
    <t>Accountable Form Expenses</t>
  </si>
  <si>
    <t>Agricultural and Marine Supplies expenses</t>
  </si>
  <si>
    <t>Drugs and Medicines</t>
  </si>
  <si>
    <t>Medical, Dental &amp; Laboratory Supplies Expenses</t>
  </si>
  <si>
    <t>Food Supplies Expenses</t>
  </si>
  <si>
    <t>Fuel, Oil and Lubricants Expenses</t>
  </si>
  <si>
    <t>xxx</t>
  </si>
  <si>
    <t>Textbooks and instructional materials expenses</t>
  </si>
  <si>
    <t>Construction Materials Expense</t>
  </si>
  <si>
    <t>Other Supplies &amp; Materials Expenses</t>
  </si>
  <si>
    <t>Semi-Expendable Machinery and Equipment Expenses</t>
  </si>
  <si>
    <t>Machinery</t>
  </si>
  <si>
    <t>Office Equipment</t>
  </si>
  <si>
    <t>Information and Communications Technology Equipment</t>
  </si>
  <si>
    <t>Communications Equipment</t>
  </si>
  <si>
    <t>Disaster Response and Rescue Equipment</t>
  </si>
  <si>
    <t>Medical Equipment</t>
  </si>
  <si>
    <t>Printing Equipment</t>
  </si>
  <si>
    <t>Sports Equipment</t>
  </si>
  <si>
    <t>Technical and Scientific Equipment</t>
  </si>
  <si>
    <t>ICT Equipment</t>
  </si>
  <si>
    <t>Other Machinery and Equipment</t>
  </si>
  <si>
    <t>Semi-Expendable Furniture, Fixtures and Books Expenses</t>
  </si>
  <si>
    <t>Furniture and Fixtures</t>
  </si>
  <si>
    <t>Books</t>
  </si>
  <si>
    <t>Uitlity Expenses</t>
  </si>
  <si>
    <t>Water Expenses</t>
  </si>
  <si>
    <t>Electricity Expenses</t>
  </si>
  <si>
    <t>Communication expenses</t>
  </si>
  <si>
    <t>Postage and Courier Services</t>
  </si>
  <si>
    <t>Telephone Expenses</t>
  </si>
  <si>
    <t>Telephone Expenses (Landline)</t>
  </si>
  <si>
    <t>Internet Subscription Expenses</t>
  </si>
  <si>
    <t>Cable, Satellite, Telegraph &amp; Radio Expenses</t>
  </si>
  <si>
    <t>Awards/Rewards and Prizes</t>
  </si>
  <si>
    <t>Awards/Rewards expenses</t>
  </si>
  <si>
    <t>Prizes</t>
  </si>
  <si>
    <t>Survey, Research, Exploration and Development</t>
  </si>
  <si>
    <t>Survey expenses</t>
  </si>
  <si>
    <t>Survey, Research, Exploration and Development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</si>
  <si>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</si>
  <si>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</si>
  <si>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</si>
  <si>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</si>
  <si>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</si>
  <si>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</si>
  <si>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Security services</t>
  </si>
  <si>
    <t>Janitorial Services</t>
  </si>
  <si>
    <t>Other General Services</t>
  </si>
  <si>
    <t>Environment/Sanitary Services</t>
  </si>
  <si>
    <t>Repair and maintenance</t>
  </si>
  <si>
    <t>Repair &amp; Maintenance - Land Improvements</t>
  </si>
  <si>
    <t>Repair &amp; Maintenance - Buildings and other structures</t>
  </si>
  <si>
    <t>Buildings</t>
  </si>
  <si>
    <t>School Buildings</t>
  </si>
  <si>
    <t>Hostels and Dormitories</t>
  </si>
  <si>
    <t>Other Structures</t>
  </si>
  <si>
    <t>Repairs and Maintenance-Machinery and Equipment</t>
  </si>
  <si>
    <t>Agricultural and Forestry Equipment</t>
  </si>
  <si>
    <t>Marine and Fishery Equipment</t>
  </si>
  <si>
    <t>Airport Equipment</t>
  </si>
  <si>
    <t>Communication Equipment</t>
  </si>
  <si>
    <t>Technical and Scientific Equipmen</t>
  </si>
  <si>
    <t>Repairs and Maintenance-Transportation Equipment</t>
  </si>
  <si>
    <t>Motor Vehicles</t>
  </si>
  <si>
    <t>Other Transportation Equipment</t>
  </si>
  <si>
    <t>Repairs and Maintenance-Furniture and Fixtures</t>
  </si>
  <si>
    <t>Repairs and Maintenance-Semi-Expendable Machinery and Equipment</t>
  </si>
  <si>
    <t>Repairs and Maintenance-Other Property, Plant and Equipment</t>
  </si>
  <si>
    <t>Taxes, Insurance Premiums and Other Fees</t>
  </si>
  <si>
    <t>Taxes, Duties and Licenses</t>
  </si>
  <si>
    <t>Fidelity Bond Premiums</t>
  </si>
  <si>
    <t>Insurance Expenses</t>
  </si>
  <si>
    <t>Labor and Wages</t>
  </si>
  <si>
    <t>Other Maintenance &amp;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</si>
  <si>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</si>
  <si>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</si>
  <si>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</si>
  <si>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</si>
  <si>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</si>
  <si>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</si>
  <si>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</si>
  <si>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Other Maintenance and Operating Expenses</t>
  </si>
  <si>
    <t>Website Maintenance</t>
  </si>
  <si>
    <t>Total Maintenance and Other Operating Expenses</t>
  </si>
  <si>
    <t>Total Current Operating Expenditures</t>
  </si>
  <si>
    <t>CAPITAL OUTLAYS</t>
  </si>
  <si>
    <t>Land</t>
  </si>
  <si>
    <t>Land Improvements</t>
  </si>
  <si>
    <t>Land Improvements, Aquaculture Structure</t>
  </si>
  <si>
    <t>Infrastructure Assets</t>
  </si>
  <si>
    <t>Water Supply Systems</t>
  </si>
  <si>
    <t>Power Supply System</t>
  </si>
  <si>
    <t>Other Infrastructure Assets</t>
  </si>
  <si>
    <t>Building and Other Structures</t>
  </si>
  <si>
    <t>Building</t>
  </si>
  <si>
    <t>Machinery and Equipment</t>
  </si>
  <si>
    <t>Transportation Equipment</t>
  </si>
  <si>
    <t>Furniture, Fixtures and Books</t>
  </si>
  <si>
    <t>Construction in Progress</t>
  </si>
  <si>
    <t>Construction in Progress-Land Improvements</t>
  </si>
  <si>
    <t>Construction in Progress-Infrastructure Assets</t>
  </si>
  <si>
    <t>Construction in Progress-Buildings and Other Structures</t>
  </si>
  <si>
    <t>Construction in Progress-Leased Assets</t>
  </si>
  <si>
    <t>Construction in Progress-Leased Assets Improvements</t>
  </si>
  <si>
    <t>Intangible Asset</t>
  </si>
  <si>
    <t>Computer Software</t>
  </si>
  <si>
    <t>Websites</t>
  </si>
  <si>
    <t>Other Intangible Assets</t>
  </si>
  <si>
    <t>TOTAL CAPITAL OUTLAYS</t>
  </si>
  <si>
    <t>Recap:</t>
  </si>
  <si>
    <t>Procurable</t>
  </si>
  <si>
    <t>Total MOOE</t>
  </si>
  <si>
    <t>Non-Procurable</t>
  </si>
  <si>
    <t>Total Capital Outlay</t>
  </si>
  <si>
    <t>Grand Total</t>
  </si>
  <si>
    <t>Prepared by:</t>
  </si>
  <si>
    <t>Certified as to availability of funds:</t>
  </si>
  <si>
    <t>Approved:</t>
  </si>
  <si>
    <r>
      <rPr>
        <sz val="11"/>
        <color theme="1"/>
        <rFont val="Arial"/>
        <charset val="134"/>
      </rPr>
      <t xml:space="preserve">Republic of the Philippines
</t>
    </r>
    <r>
      <rPr>
        <b/>
        <sz val="12"/>
        <color theme="1"/>
        <rFont val="Arial"/>
        <charset val="134"/>
      </rPr>
      <t>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Magsija, Balilihan, 6342, Bohol, Philippines
Office of the Administration and Finance
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</si>
  <si>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FY 2025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</si>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</sst>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ptos Narrow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i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auto="1"/>
      </bottom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auto="1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0" applyNumberFormat="0" applyAlignment="0" applyProtection="0">
      <alignment vertical="center"/>
    </xf>
    <xf numFmtId="0" fontId="20" fillId="7" borderId="41" applyNumberFormat="0" applyAlignment="0" applyProtection="0">
      <alignment vertical="center"/>
    </xf>
    <xf numFmtId="0" fontId="21" fillId="7" borderId="40" applyNumberFormat="0" applyAlignment="0" applyProtection="0">
      <alignment vertical="center"/>
    </xf>
    <xf numFmtId="0" fontId="22" fillId="8" borderId="42" applyNumberFormat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1" xfId="0" applyFont="1" applyBorder="1" applyAlignment="1">
      <alignment horizontal="left" vertical="center" wrapText="1" indent="15"/>
    </xf>
    <xf numFmtId="0" fontId="1" fillId="0" borderId="1" xfId="0" applyFont="1" applyBorder="1" applyAlignment="1">
      <alignment horizontal="left" vertical="center" indent="15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center"/>
    </xf>
    <xf numFmtId="0" fontId="5" fillId="2" borderId="9" xfId="0" applyFont="1" applyFill="1" applyBorder="1" applyAlignment="1">
      <alignment vertical="top" wrapText="1"/>
    </xf>
    <xf numFmtId="0" fontId="2" fillId="0" borderId="9" xfId="0" applyFont="1" applyBorder="1" applyAlignment="1">
      <alignment vertical="center"/>
    </xf>
    <xf numFmtId="0" fontId="3" fillId="0" borderId="8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5" fillId="0" borderId="8" xfId="0" applyFont="1" applyBorder="1" applyAlignment="1">
      <alignment vertical="center"/>
    </xf>
    <xf numFmtId="4" fontId="5" fillId="0" borderId="9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top" wrapText="1"/>
    </xf>
    <xf numFmtId="4" fontId="5" fillId="0" borderId="11" xfId="0" applyNumberFormat="1" applyFont="1" applyBorder="1" applyAlignment="1">
      <alignment horizontal="right" vertical="top" wrapText="1"/>
    </xf>
    <xf numFmtId="4" fontId="2" fillId="0" borderId="10" xfId="0" applyNumberFormat="1" applyFont="1" applyBorder="1" applyAlignment="1">
      <alignment horizontal="right" vertical="top" wrapText="1"/>
    </xf>
    <xf numFmtId="0" fontId="7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14" xfId="0" applyFont="1" applyBorder="1" applyAlignment="1">
      <alignment vertical="center"/>
    </xf>
    <xf numFmtId="0" fontId="3" fillId="0" borderId="14" xfId="0" applyFont="1" applyBorder="1" applyAlignment="1">
      <alignment vertical="top" wrapText="1"/>
    </xf>
    <xf numFmtId="4" fontId="5" fillId="0" borderId="14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vertical="center"/>
    </xf>
    <xf numFmtId="0" fontId="3" fillId="0" borderId="16" xfId="0" applyFont="1" applyBorder="1" applyAlignment="1">
      <alignment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2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0" fontId="5" fillId="0" borderId="24" xfId="0" applyNumberFormat="1" applyFont="1" applyBorder="1" applyAlignment="1">
      <alignment horizontal="right" vertical="top" wrapText="1"/>
    </xf>
    <xf numFmtId="0" fontId="3" fillId="0" borderId="24" xfId="0" applyFont="1" applyBorder="1" applyAlignment="1">
      <alignment horizontal="right" vertical="top" wrapText="1"/>
    </xf>
    <xf numFmtId="4" fontId="8" fillId="0" borderId="9" xfId="0" applyNumberFormat="1" applyFont="1" applyBorder="1" applyAlignment="1">
      <alignment horizontal="right" vertical="top" wrapText="1"/>
    </xf>
    <xf numFmtId="0" fontId="8" fillId="0" borderId="9" xfId="0" applyNumberFormat="1" applyFont="1" applyBorder="1" applyAlignment="1">
      <alignment horizontal="right" vertical="top" wrapText="1"/>
    </xf>
    <xf numFmtId="0" fontId="9" fillId="0" borderId="24" xfId="0" applyFont="1" applyBorder="1" applyAlignment="1">
      <alignment vertical="top" wrapText="1"/>
    </xf>
    <xf numFmtId="4" fontId="2" fillId="0" borderId="9" xfId="0" applyNumberFormat="1" applyFont="1" applyBorder="1" applyAlignment="1">
      <alignment horizontal="right" vertical="top" wrapText="1"/>
    </xf>
    <xf numFmtId="4" fontId="2" fillId="0" borderId="13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4" fontId="2" fillId="0" borderId="14" xfId="0" applyNumberFormat="1" applyFont="1" applyBorder="1" applyAlignment="1">
      <alignment horizontal="right" vertical="top" wrapText="1"/>
    </xf>
    <xf numFmtId="4" fontId="5" fillId="0" borderId="27" xfId="0" applyNumberFormat="1" applyFont="1" applyBorder="1" applyAlignment="1">
      <alignment horizontal="right" vertical="top" wrapText="1"/>
    </xf>
    <xf numFmtId="4" fontId="2" fillId="0" borderId="27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2" fillId="0" borderId="28" xfId="0" applyFont="1" applyBorder="1" applyAlignment="1">
      <alignment vertical="center"/>
    </xf>
    <xf numFmtId="0" fontId="3" fillId="0" borderId="29" xfId="0" applyFont="1" applyBorder="1" applyAlignment="1">
      <alignment vertical="top" wrapText="1"/>
    </xf>
    <xf numFmtId="0" fontId="5" fillId="0" borderId="30" xfId="0" applyFont="1" applyBorder="1" applyAlignment="1">
      <alignment horizontal="right" vertical="top" wrapText="1"/>
    </xf>
    <xf numFmtId="4" fontId="2" fillId="0" borderId="16" xfId="0" applyNumberFormat="1" applyFont="1" applyBorder="1" applyAlignment="1">
      <alignment horizontal="right" vertical="top" wrapText="1"/>
    </xf>
    <xf numFmtId="0" fontId="9" fillId="0" borderId="16" xfId="0" applyNumberFormat="1" applyFont="1" applyBorder="1" applyAlignment="1">
      <alignment horizontal="right" vertical="top" wrapText="1"/>
    </xf>
    <xf numFmtId="0" fontId="8" fillId="0" borderId="16" xfId="0" applyNumberFormat="1" applyFont="1" applyBorder="1" applyAlignment="1">
      <alignment horizontal="right" vertical="top" wrapText="1"/>
    </xf>
    <xf numFmtId="0" fontId="2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top" wrapText="1"/>
    </xf>
    <xf numFmtId="4" fontId="9" fillId="0" borderId="10" xfId="0" applyNumberFormat="1" applyFont="1" applyBorder="1" applyAlignment="1">
      <alignment vertical="top" wrapText="1"/>
    </xf>
    <xf numFmtId="0" fontId="9" fillId="0" borderId="10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top" wrapText="1"/>
    </xf>
    <xf numFmtId="4" fontId="5" fillId="0" borderId="11" xfId="0" applyNumberFormat="1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3" fillId="0" borderId="31" xfId="0" applyFont="1" applyBorder="1" applyAlignment="1">
      <alignment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25" xfId="0" applyNumberFormat="1" applyFont="1" applyBorder="1" applyAlignment="1">
      <alignment vertical="top" wrapText="1"/>
    </xf>
    <xf numFmtId="4" fontId="5" fillId="0" borderId="24" xfId="0" applyNumberFormat="1" applyFont="1" applyBorder="1" applyAlignment="1">
      <alignment horizontal="right" vertical="top" wrapText="1"/>
    </xf>
    <xf numFmtId="0" fontId="2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9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0</xdr:col>
      <xdr:colOff>1021080</xdr:colOff>
      <xdr:row>0</xdr:row>
      <xdr:rowOff>792480</xdr:rowOff>
    </xdr:to>
    <xdr:pic>
      <xdr:nvPicPr>
        <xdr:cNvPr id="8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5240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9" name="Picture 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10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209550</xdr:rowOff>
    </xdr:from>
    <xdr:to>
      <xdr:col>0</xdr:col>
      <xdr:colOff>1021080</xdr:colOff>
      <xdr:row>0</xdr:row>
      <xdr:rowOff>849630</xdr:rowOff>
    </xdr:to>
    <xdr:pic>
      <xdr:nvPicPr>
        <xdr:cNvPr id="2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2095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4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workbookViewId="0">
      <selection activeCell="D60" sqref="D60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98.25" customHeight="1" spans="1:9">
      <c r="A1" s="100" t="s">
        <v>0</v>
      </c>
      <c r="B1" s="101"/>
      <c r="C1" s="101"/>
      <c r="D1" s="101"/>
      <c r="E1" s="101"/>
      <c r="F1" s="101"/>
      <c r="G1" s="101"/>
      <c r="H1" s="101"/>
      <c r="I1" s="101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ht="15.15" spans="1:9">
      <c r="A3" s="5" t="s">
        <v>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4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 t="s">
        <v>6</v>
      </c>
      <c r="D6" s="10"/>
      <c r="E6" s="10"/>
      <c r="F6" s="10"/>
      <c r="G6" s="10"/>
      <c r="H6" s="13" t="s">
        <v>7</v>
      </c>
      <c r="I6" s="52" t="s">
        <v>8</v>
      </c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/>
      <c r="F15" s="10"/>
      <c r="G15" s="10"/>
      <c r="H15" s="10"/>
      <c r="I15" s="66" t="s">
        <v>20</v>
      </c>
    </row>
    <row r="16" ht="15.15" spans="1:9">
      <c r="A16" s="17" t="s">
        <v>21</v>
      </c>
      <c r="B16" s="10"/>
      <c r="C16" s="10"/>
      <c r="D16" s="10"/>
      <c r="E16" s="10"/>
      <c r="F16" s="10"/>
      <c r="G16" s="10"/>
      <c r="H16" s="10"/>
      <c r="I16" s="66" t="s">
        <v>20</v>
      </c>
    </row>
    <row r="17" ht="15.15" spans="1:9">
      <c r="A17" s="17" t="s">
        <v>22</v>
      </c>
      <c r="B17" s="10"/>
      <c r="C17" s="10"/>
      <c r="D17" s="10"/>
      <c r="E17" s="22" t="s">
        <v>16</v>
      </c>
      <c r="F17" s="22" t="s">
        <v>16</v>
      </c>
      <c r="G17" s="22" t="s">
        <v>16</v>
      </c>
      <c r="H17" s="22" t="s">
        <v>16</v>
      </c>
      <c r="I17" s="22" t="s">
        <v>16</v>
      </c>
    </row>
    <row r="18" ht="15.15" spans="1:9">
      <c r="A18" s="9" t="s">
        <v>23</v>
      </c>
      <c r="B18" s="10"/>
      <c r="C18" s="10"/>
      <c r="D18" s="10"/>
      <c r="E18" s="23" t="s">
        <v>16</v>
      </c>
      <c r="F18" s="23" t="s">
        <v>16</v>
      </c>
      <c r="G18" s="23" t="s">
        <v>16</v>
      </c>
      <c r="H18" s="23" t="s">
        <v>16</v>
      </c>
      <c r="I18" s="23" t="s">
        <v>16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 t="s">
        <v>16</v>
      </c>
      <c r="F23" s="27" t="s">
        <v>16</v>
      </c>
      <c r="G23" s="27" t="s">
        <v>16</v>
      </c>
      <c r="H23" s="27" t="s">
        <v>16</v>
      </c>
      <c r="I23" s="57" t="s">
        <v>16</v>
      </c>
    </row>
    <row r="24" ht="15.15" spans="1:9">
      <c r="A24" s="17" t="s">
        <v>27</v>
      </c>
      <c r="B24" s="10"/>
      <c r="C24" s="10"/>
      <c r="D24" s="10"/>
      <c r="E24" s="26" t="s">
        <v>16</v>
      </c>
      <c r="F24" s="26" t="s">
        <v>16</v>
      </c>
      <c r="G24" s="26" t="s">
        <v>16</v>
      </c>
      <c r="H24" s="26" t="s">
        <v>16</v>
      </c>
      <c r="I24" s="102" t="s">
        <v>16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 t="s">
        <v>16</v>
      </c>
      <c r="F26" s="18" t="s">
        <v>16</v>
      </c>
      <c r="G26" s="18" t="s">
        <v>16</v>
      </c>
      <c r="H26" s="18" t="s">
        <v>16</v>
      </c>
      <c r="I26" s="60" t="s">
        <v>16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 t="s">
        <v>16</v>
      </c>
      <c r="F28" s="18" t="s">
        <v>16</v>
      </c>
      <c r="G28" s="18" t="s">
        <v>16</v>
      </c>
      <c r="H28" s="18" t="s">
        <v>16</v>
      </c>
      <c r="I28" s="60" t="s">
        <v>16</v>
      </c>
    </row>
    <row r="29" ht="15.15" spans="1:9">
      <c r="A29" s="17" t="s">
        <v>32</v>
      </c>
      <c r="B29" s="10"/>
      <c r="C29" s="10"/>
      <c r="D29" s="10"/>
      <c r="E29" s="18" t="s">
        <v>16</v>
      </c>
      <c r="F29" s="18" t="s">
        <v>16</v>
      </c>
      <c r="G29" s="18" t="s">
        <v>16</v>
      </c>
      <c r="H29" s="18" t="s">
        <v>16</v>
      </c>
      <c r="I29" s="60" t="s">
        <v>16</v>
      </c>
    </row>
    <row r="30" ht="15.15" spans="1:9">
      <c r="A30" s="17" t="s">
        <v>33</v>
      </c>
      <c r="B30" s="10"/>
      <c r="C30" s="10"/>
      <c r="D30" s="10"/>
      <c r="E30" s="18" t="s">
        <v>16</v>
      </c>
      <c r="F30" s="18" t="s">
        <v>16</v>
      </c>
      <c r="G30" s="18" t="s">
        <v>16</v>
      </c>
      <c r="H30" s="18" t="s">
        <v>16</v>
      </c>
      <c r="I30" s="60" t="s">
        <v>16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6" t="s">
        <v>20</v>
      </c>
    </row>
    <row r="42" ht="15.15" spans="1:9">
      <c r="A42" s="17" t="s">
        <v>41</v>
      </c>
      <c r="B42" s="10"/>
      <c r="C42" s="10"/>
      <c r="D42" s="10"/>
      <c r="E42" s="18">
        <v>91000</v>
      </c>
      <c r="F42" s="18">
        <v>20608.02</v>
      </c>
      <c r="G42" s="10"/>
      <c r="H42" s="10"/>
      <c r="I42" s="97">
        <v>111608.02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 t="s">
        <v>38</v>
      </c>
      <c r="F44" s="41" t="s">
        <v>38</v>
      </c>
      <c r="G44" s="40" t="s">
        <v>38</v>
      </c>
      <c r="H44" s="41" t="s">
        <v>38</v>
      </c>
      <c r="I44" s="64" t="s">
        <v>38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5.15" spans="1:9">
      <c r="A53" s="14"/>
      <c r="B53" s="46" t="s">
        <v>52</v>
      </c>
      <c r="C53" s="10"/>
      <c r="D53" s="10"/>
      <c r="E53" s="40" t="s">
        <v>38</v>
      </c>
      <c r="F53" s="41" t="s">
        <v>38</v>
      </c>
      <c r="G53" s="40" t="s">
        <v>38</v>
      </c>
      <c r="H53" s="41" t="s">
        <v>38</v>
      </c>
      <c r="I53" s="64" t="s">
        <v>38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5.15" spans="1:9">
      <c r="A100" s="14"/>
      <c r="B100" s="46" t="s">
        <v>92</v>
      </c>
      <c r="C100" s="10"/>
      <c r="D100" s="10"/>
      <c r="E100" s="40" t="s">
        <v>38</v>
      </c>
      <c r="F100" s="41" t="s">
        <v>38</v>
      </c>
      <c r="G100" s="40" t="s">
        <v>38</v>
      </c>
      <c r="H100" s="41" t="s">
        <v>38</v>
      </c>
      <c r="I100" s="64" t="s">
        <v>38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5.15" spans="1:9">
      <c r="A132" s="9" t="s">
        <v>117</v>
      </c>
      <c r="B132" s="10"/>
      <c r="C132" s="10"/>
      <c r="D132" s="10"/>
      <c r="E132" s="40" t="s">
        <v>38</v>
      </c>
      <c r="F132" s="41" t="s">
        <v>38</v>
      </c>
      <c r="G132" s="40" t="s">
        <v>38</v>
      </c>
      <c r="H132" s="41" t="s">
        <v>38</v>
      </c>
      <c r="I132" s="64" t="s">
        <v>38</v>
      </c>
    </row>
    <row r="133" ht="15.15" spans="1:9">
      <c r="A133" s="14"/>
      <c r="B133" s="10"/>
      <c r="C133" s="10"/>
      <c r="D133" s="10"/>
      <c r="E133" s="40" t="s">
        <v>38</v>
      </c>
      <c r="F133" s="41" t="s">
        <v>38</v>
      </c>
      <c r="G133" s="40" t="s">
        <v>38</v>
      </c>
      <c r="H133" s="41" t="s">
        <v>38</v>
      </c>
      <c r="I133" s="64" t="s">
        <v>38</v>
      </c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5.15" spans="1:9">
      <c r="A136" s="17" t="s">
        <v>119</v>
      </c>
      <c r="B136" s="10"/>
      <c r="C136" s="10"/>
      <c r="D136" s="10"/>
      <c r="E136" s="40" t="s">
        <v>38</v>
      </c>
      <c r="F136" s="41" t="s">
        <v>38</v>
      </c>
      <c r="G136" s="40" t="s">
        <v>38</v>
      </c>
      <c r="H136" s="41" t="s">
        <v>38</v>
      </c>
      <c r="I136" s="64" t="s">
        <v>38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5.15" spans="1:9">
      <c r="A160" s="17" t="s">
        <v>96</v>
      </c>
      <c r="B160" s="10"/>
      <c r="C160" s="10"/>
      <c r="D160" s="10"/>
      <c r="E160" s="40" t="s">
        <v>38</v>
      </c>
      <c r="F160" s="41" t="s">
        <v>38</v>
      </c>
      <c r="G160" s="40" t="s">
        <v>38</v>
      </c>
      <c r="H160" s="41" t="s">
        <v>38</v>
      </c>
      <c r="I160" s="64" t="s">
        <v>38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5.15" spans="1:9">
      <c r="A166" s="17" t="s">
        <v>132</v>
      </c>
      <c r="B166" s="10"/>
      <c r="C166" s="10"/>
      <c r="D166" s="10"/>
      <c r="E166" s="40" t="s">
        <v>38</v>
      </c>
      <c r="F166" s="41" t="s">
        <v>38</v>
      </c>
      <c r="G166" s="40" t="s">
        <v>38</v>
      </c>
      <c r="H166" s="41" t="s">
        <v>38</v>
      </c>
      <c r="I166" s="64" t="s">
        <v>38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5.15" spans="1:9">
      <c r="A175" s="9" t="s">
        <v>141</v>
      </c>
      <c r="B175" s="10"/>
      <c r="C175" s="10"/>
      <c r="D175" s="10"/>
      <c r="E175" s="103"/>
      <c r="F175" s="103"/>
      <c r="G175" s="104" t="s">
        <v>20</v>
      </c>
      <c r="H175" s="104" t="s">
        <v>20</v>
      </c>
      <c r="I175" s="106" t="s">
        <v>20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79" t="s">
        <v>23</v>
      </c>
      <c r="E180" s="18">
        <v>30000</v>
      </c>
      <c r="F180" s="10"/>
      <c r="G180" s="45" t="s">
        <v>143</v>
      </c>
      <c r="H180" s="10"/>
      <c r="I180" s="97">
        <v>340000</v>
      </c>
    </row>
    <row r="181" ht="15.15" spans="1:9">
      <c r="A181" s="14"/>
      <c r="B181" s="10"/>
      <c r="C181" s="10"/>
      <c r="D181" s="80" t="s">
        <v>144</v>
      </c>
      <c r="E181" s="18">
        <v>470000</v>
      </c>
      <c r="F181" s="10"/>
      <c r="G181" s="46" t="s">
        <v>145</v>
      </c>
      <c r="H181" s="10"/>
      <c r="I181" s="97">
        <v>160000</v>
      </c>
    </row>
    <row r="182" ht="15.15" spans="1:9">
      <c r="A182" s="14"/>
      <c r="B182" s="10"/>
      <c r="C182" s="10"/>
      <c r="D182" s="79" t="s">
        <v>146</v>
      </c>
      <c r="E182" s="105" t="s">
        <v>20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2" t="s">
        <v>147</v>
      </c>
      <c r="E183" s="23">
        <v>500000</v>
      </c>
      <c r="F183" s="83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tabSelected="1" workbookViewId="0">
      <selection activeCell="C5" sqref="C5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84.75" customHeight="1" spans="1:9">
      <c r="A1" s="1" t="s">
        <v>151</v>
      </c>
      <c r="B1" s="2"/>
      <c r="C1" s="2"/>
      <c r="D1" s="2"/>
      <c r="E1" s="2"/>
      <c r="F1" s="2"/>
      <c r="G1" s="2"/>
      <c r="H1" s="2"/>
      <c r="I1" s="2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spans="1:9">
      <c r="A3" s="5" t="s">
        <v>152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spans="1:9">
      <c r="A5" s="9" t="s">
        <v>3</v>
      </c>
      <c r="B5" s="10"/>
      <c r="C5" s="11" t="s">
        <v>153</v>
      </c>
      <c r="D5" s="10"/>
      <c r="E5" s="10"/>
      <c r="F5" s="10"/>
      <c r="G5" s="10"/>
      <c r="H5" s="10"/>
      <c r="I5" s="51"/>
    </row>
    <row r="6" spans="1:9">
      <c r="A6" s="9" t="s">
        <v>5</v>
      </c>
      <c r="B6" s="10"/>
      <c r="C6" s="12"/>
      <c r="D6" s="10"/>
      <c r="E6" s="10"/>
      <c r="F6" s="10"/>
      <c r="G6" s="10"/>
      <c r="H6" s="13" t="s">
        <v>7</v>
      </c>
      <c r="I6" s="52"/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>
        <v>5000</v>
      </c>
      <c r="F15" s="10">
        <v>5000</v>
      </c>
      <c r="G15" s="10">
        <v>5000</v>
      </c>
      <c r="H15" s="10">
        <v>5000</v>
      </c>
      <c r="I15" s="55">
        <f>SUM(E15:H15)</f>
        <v>20000</v>
      </c>
    </row>
    <row r="16" ht="15.15" spans="1:9">
      <c r="A16" s="17" t="s">
        <v>21</v>
      </c>
      <c r="B16" s="10"/>
      <c r="C16" s="10"/>
      <c r="D16" s="10"/>
      <c r="E16" s="10">
        <v>4000</v>
      </c>
      <c r="F16" s="10">
        <v>5000</v>
      </c>
      <c r="G16" s="10">
        <v>5000</v>
      </c>
      <c r="H16" s="10">
        <v>6000</v>
      </c>
      <c r="I16" s="55">
        <f>SUM(E16:H16)</f>
        <v>20000</v>
      </c>
    </row>
    <row r="17" ht="15.15" spans="1:9">
      <c r="A17" s="17" t="s">
        <v>22</v>
      </c>
      <c r="B17" s="10"/>
      <c r="C17" s="10"/>
      <c r="D17" s="10"/>
      <c r="E17" s="22">
        <v>1000</v>
      </c>
      <c r="F17" s="22">
        <v>1000</v>
      </c>
      <c r="G17" s="22">
        <v>1000</v>
      </c>
      <c r="H17" s="22">
        <v>1000</v>
      </c>
      <c r="I17" s="22">
        <v>4000</v>
      </c>
    </row>
    <row r="18" ht="15.15" spans="1:9">
      <c r="A18" s="9" t="s">
        <v>23</v>
      </c>
      <c r="B18" s="10"/>
      <c r="C18" s="10"/>
      <c r="D18" s="10"/>
      <c r="E18" s="23">
        <f>SUM(E15:E17)</f>
        <v>10000</v>
      </c>
      <c r="F18" s="23">
        <f>SUM(F15:F17)</f>
        <v>11000</v>
      </c>
      <c r="G18" s="23">
        <f>SUM(G15:G17)</f>
        <v>11000</v>
      </c>
      <c r="H18" s="23">
        <f>SUM(H15:H17)</f>
        <v>12000</v>
      </c>
      <c r="I18" s="23">
        <f>SUM(I15:I17)</f>
        <v>44000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4.55" spans="1:9">
      <c r="A23" s="17" t="s">
        <v>26</v>
      </c>
      <c r="B23" s="10"/>
      <c r="C23" s="10"/>
      <c r="D23" s="10"/>
      <c r="E23" s="27">
        <v>1200</v>
      </c>
      <c r="F23" s="27">
        <v>1500</v>
      </c>
      <c r="G23" s="27">
        <v>2000</v>
      </c>
      <c r="H23" s="27">
        <v>1400</v>
      </c>
      <c r="I23" s="57">
        <f>SUM(E23:H23)</f>
        <v>6100</v>
      </c>
    </row>
    <row r="24" ht="14.55" spans="1:9">
      <c r="A24" s="17" t="s">
        <v>27</v>
      </c>
      <c r="B24" s="10"/>
      <c r="C24" s="10"/>
      <c r="D24" s="10"/>
      <c r="E24" s="28">
        <v>5000</v>
      </c>
      <c r="F24" s="28">
        <v>6000</v>
      </c>
      <c r="G24" s="28">
        <v>6000</v>
      </c>
      <c r="H24" s="28">
        <v>5900</v>
      </c>
      <c r="I24" s="58">
        <f>SUM(E24:H24)</f>
        <v>22900</v>
      </c>
    </row>
    <row r="2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>
        <v>6000</v>
      </c>
      <c r="F26" s="18">
        <v>6000</v>
      </c>
      <c r="G26" s="18">
        <v>6000</v>
      </c>
      <c r="H26" s="18">
        <v>6000</v>
      </c>
      <c r="I26" s="60">
        <v>24000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>
        <v>10000</v>
      </c>
      <c r="F28" s="18">
        <v>10000</v>
      </c>
      <c r="G28" s="18">
        <v>10000</v>
      </c>
      <c r="H28" s="18">
        <v>10000</v>
      </c>
      <c r="I28" s="60">
        <f>SUM(E28:H28)</f>
        <v>40000</v>
      </c>
    </row>
    <row r="29" ht="15.15" spans="1:9">
      <c r="A29" s="17" t="s">
        <v>32</v>
      </c>
      <c r="B29" s="10"/>
      <c r="C29" s="10"/>
      <c r="D29" s="10"/>
      <c r="E29" s="18">
        <v>5000</v>
      </c>
      <c r="F29" s="18">
        <v>6000</v>
      </c>
      <c r="G29" s="18">
        <v>4000</v>
      </c>
      <c r="H29" s="18">
        <v>2000</v>
      </c>
      <c r="I29" s="60">
        <f>SUM(E29:H29)</f>
        <v>17000</v>
      </c>
    </row>
    <row r="30" ht="15.15" spans="1:9">
      <c r="A30" s="17" t="s">
        <v>33</v>
      </c>
      <c r="B30" s="10"/>
      <c r="C30" s="10"/>
      <c r="D30" s="10"/>
      <c r="E30" s="18">
        <v>3000</v>
      </c>
      <c r="F30" s="18">
        <v>3500</v>
      </c>
      <c r="G30" s="18">
        <v>4000</v>
      </c>
      <c r="H30" s="18">
        <v>3000</v>
      </c>
      <c r="I30" s="60">
        <f>SUM(E30:H30)</f>
        <v>13500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4" t="s">
        <v>38</v>
      </c>
    </row>
    <row r="42" ht="15.15" spans="1:9">
      <c r="A42" s="17" t="s">
        <v>41</v>
      </c>
      <c r="B42" s="10"/>
      <c r="C42" s="10"/>
      <c r="D42" s="10"/>
      <c r="E42" s="18" t="s">
        <v>38</v>
      </c>
      <c r="F42" s="18" t="s">
        <v>38</v>
      </c>
      <c r="G42" s="26" t="s">
        <v>38</v>
      </c>
      <c r="H42" s="26" t="s">
        <v>38</v>
      </c>
      <c r="I42" s="64" t="s">
        <v>38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>
        <v>10000</v>
      </c>
      <c r="F44" s="41">
        <v>10000</v>
      </c>
      <c r="G44" s="40">
        <v>10000</v>
      </c>
      <c r="H44" s="41">
        <v>5000</v>
      </c>
      <c r="I44" s="65">
        <f>SUM(E44:H44)</f>
        <v>35000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5.15" spans="1:9">
      <c r="A53" s="14"/>
      <c r="B53" s="46" t="s">
        <v>52</v>
      </c>
      <c r="C53" s="10"/>
      <c r="D53" s="10"/>
      <c r="E53" s="40">
        <v>20000</v>
      </c>
      <c r="F53" s="41">
        <v>15000</v>
      </c>
      <c r="G53" s="40">
        <v>20000</v>
      </c>
      <c r="H53" s="41">
        <v>20000</v>
      </c>
      <c r="I53" s="64">
        <f>SUM(E53:H53)</f>
        <v>75000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5.15" spans="1:9">
      <c r="A100" s="14"/>
      <c r="B100" s="46" t="s">
        <v>92</v>
      </c>
      <c r="C100" s="10"/>
      <c r="D100" s="10"/>
      <c r="E100" s="40">
        <v>5000</v>
      </c>
      <c r="F100" s="41">
        <v>5000</v>
      </c>
      <c r="G100" s="40">
        <v>5000</v>
      </c>
      <c r="H100" s="41">
        <v>5000</v>
      </c>
      <c r="I100" s="64">
        <f>SUM(E100:H100)</f>
        <v>20000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5.15" spans="1:9">
      <c r="A132" s="9" t="s">
        <v>117</v>
      </c>
      <c r="B132" s="10"/>
      <c r="C132" s="10"/>
      <c r="D132" s="10"/>
      <c r="E132" s="70">
        <f>SUM(E22:E131)</f>
        <v>65200</v>
      </c>
      <c r="F132" s="71">
        <f>SUM(F22:F131)</f>
        <v>63000</v>
      </c>
      <c r="G132" s="70">
        <f>SUM(G22:G131)</f>
        <v>67000</v>
      </c>
      <c r="H132" s="72">
        <f>SUM(H22:H131)</f>
        <v>58300</v>
      </c>
      <c r="I132" s="65">
        <f>SUM(I22:I131)</f>
        <v>253500</v>
      </c>
    </row>
    <row r="133" ht="15.15" spans="1:9">
      <c r="A133" s="14"/>
      <c r="B133" s="10"/>
      <c r="C133" s="10"/>
      <c r="D133" s="10"/>
      <c r="E133" s="40"/>
      <c r="F133" s="41"/>
      <c r="G133" s="40"/>
      <c r="H133" s="41"/>
      <c r="I133" s="64"/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5.15" spans="1:9">
      <c r="A136" s="17" t="s">
        <v>119</v>
      </c>
      <c r="B136" s="10"/>
      <c r="C136" s="10"/>
      <c r="D136" s="10"/>
      <c r="E136" s="40">
        <v>50000</v>
      </c>
      <c r="F136" s="41">
        <v>40000</v>
      </c>
      <c r="G136" s="40">
        <v>40000</v>
      </c>
      <c r="H136" s="41">
        <v>40000</v>
      </c>
      <c r="I136" s="64">
        <f>SUM(E136:H136)</f>
        <v>170000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5.15" spans="1:9">
      <c r="A160" s="17" t="s">
        <v>96</v>
      </c>
      <c r="B160" s="10"/>
      <c r="C160" s="10"/>
      <c r="D160" s="10"/>
      <c r="E160" s="40">
        <v>4000</v>
      </c>
      <c r="F160" s="41">
        <v>3000</v>
      </c>
      <c r="G160" s="40">
        <v>5000</v>
      </c>
      <c r="H160" s="41">
        <v>3000</v>
      </c>
      <c r="I160" s="64">
        <f>SUM(E160:H160)</f>
        <v>15000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5.15" spans="1:9">
      <c r="A166" s="17" t="s">
        <v>132</v>
      </c>
      <c r="B166" s="10"/>
      <c r="C166" s="10"/>
      <c r="D166" s="10"/>
      <c r="E166" s="40">
        <v>5000</v>
      </c>
      <c r="F166" s="41">
        <v>4500</v>
      </c>
      <c r="G166" s="40">
        <v>6000</v>
      </c>
      <c r="H166" s="41">
        <v>2000</v>
      </c>
      <c r="I166" s="65">
        <f>SUM(E166:H166)</f>
        <v>17500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5.15" spans="1:9">
      <c r="A175" s="9" t="s">
        <v>141</v>
      </c>
      <c r="B175" s="10"/>
      <c r="C175" s="10"/>
      <c r="D175" s="10"/>
      <c r="E175" s="75">
        <f>SUM(E135:E174)</f>
        <v>59000</v>
      </c>
      <c r="F175" s="76">
        <f>SUM(F135:F174)</f>
        <v>47500</v>
      </c>
      <c r="G175" s="23">
        <f>SUM(G135:G174)</f>
        <v>51000</v>
      </c>
      <c r="H175" s="77">
        <f>SUM(H135:H174)</f>
        <v>45000</v>
      </c>
      <c r="I175" s="96">
        <f>SUM(I135:I174)</f>
        <v>202500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79" t="s">
        <v>23</v>
      </c>
      <c r="E180" s="18">
        <f>SUM(I18)</f>
        <v>44000</v>
      </c>
      <c r="F180" s="10"/>
      <c r="G180" s="45" t="s">
        <v>143</v>
      </c>
      <c r="H180" s="10"/>
      <c r="I180" s="97">
        <v>340000</v>
      </c>
    </row>
    <row r="181" ht="15.15" spans="1:9">
      <c r="A181" s="14"/>
      <c r="B181" s="10"/>
      <c r="C181" s="10"/>
      <c r="D181" s="80" t="s">
        <v>144</v>
      </c>
      <c r="E181" s="18">
        <f>SUM(I132)</f>
        <v>253500</v>
      </c>
      <c r="F181" s="10"/>
      <c r="G181" s="46" t="s">
        <v>145</v>
      </c>
      <c r="H181" s="10"/>
      <c r="I181" s="97">
        <v>160000</v>
      </c>
    </row>
    <row r="182" ht="15.15" spans="1:9">
      <c r="A182" s="14"/>
      <c r="B182" s="10"/>
      <c r="C182" s="10"/>
      <c r="D182" s="79" t="s">
        <v>146</v>
      </c>
      <c r="E182" s="81">
        <f>SUM(I175)</f>
        <v>202500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2" t="s">
        <v>147</v>
      </c>
      <c r="E183" s="23">
        <f>SUM(I18,I132,I175)</f>
        <v>500000</v>
      </c>
      <c r="F183" s="83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Departmental PRE</vt:lpstr>
      <vt:lpstr>Departmental PRE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Paul Casipit</dc:creator>
  <cp:lastModifiedBy>Romelo Lucot</cp:lastModifiedBy>
  <dcterms:created xsi:type="dcterms:W3CDTF">2015-06-05T18:17:00Z</dcterms:created>
  <cp:lastPrinted>2025-03-31T05:45:00Z</cp:lastPrinted>
  <dcterms:modified xsi:type="dcterms:W3CDTF">2025-11-27T06:46:50Z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4B18B696BCC34B83B5072ECD3A8FDD4C_12</vt:lpwstr>
  </property>
  <property fmtid="{D5CDD505-2E9C-101B-9397-08002B2CF9AE}" pid="3" name="KSOProductBuildVer">
    <vt:lpwstr>1033-12.2.0.23155</vt:lpwstr>
  </property>
</Properties>
</file>